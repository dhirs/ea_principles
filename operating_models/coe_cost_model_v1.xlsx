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<sst xmlns="http://schemas.openxmlformats.org/spreadsheetml/2006/main" count="48" uniqueCount="40">
  <si>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AI CoE — Annual Cost Model (2026)</t>
  </si>
  <si>
    <t xml:space="preserve">UK large-enterprise estimates · all figures £'000 unless marked · blue cells = editable inputs</t>
  </si>
  <si>
    <t xml:space="preserve">Role</t>
  </si>
  <si>
    <t xml:space="preserve">Group</t>
  </si>
  <si>
    <t xml:space="preserve">Base salary</t>
  </si>
  <si>
    <t xml:space="preserve">Lean  #</t>
  </si>
  <si>
    <t xml:space="preserve">Standard  #</t>
  </si>
  <si>
    <t xml:space="preserve">Scaled  #</t>
  </si>
  <si>
    <t xml:space="preserve">Lean £</t>
  </si>
  <si>
    <t xml:space="preserve">Standard £</t>
  </si>
  <si>
    <t xml:space="preserve">Scaled £</t>
  </si>
  <si>
    <t xml:space="preserve">Head of AI CoE</t>
  </si>
  <si>
    <t xml:space="preserve">Leadership</t>
  </si>
  <si>
    <t xml:space="preserve">Lead AI Architect</t>
  </si>
  <si>
    <t xml:space="preserve">Head of Engineering</t>
  </si>
  <si>
    <t xml:space="preserve">Head of Product</t>
  </si>
  <si>
    <t xml:space="preserve">Head of Governance</t>
  </si>
  <si>
    <t xml:space="preserve">Programme Manager</t>
  </si>
  <si>
    <t xml:space="preserve">Pod Architect</t>
  </si>
  <si>
    <t xml:space="preserve">Architecture</t>
  </si>
  <si>
    <t xml:space="preserve">POD Lead (PM)</t>
  </si>
  <si>
    <t xml:space="preserve">Engineering</t>
  </si>
  <si>
    <t xml:space="preserve">Developer</t>
  </si>
  <si>
    <t xml:space="preserve">Platform Engineer (build)</t>
  </si>
  <si>
    <t xml:space="preserve">Run / SRE Engineer</t>
  </si>
  <si>
    <t xml:space="preserve">Product</t>
  </si>
  <si>
    <t xml:space="preserve">Adoption Engineer</t>
  </si>
  <si>
    <t xml:space="preserve">Governance Specialist</t>
  </si>
  <si>
    <t xml:space="preserve">Governance</t>
  </si>
  <si>
    <t xml:space="preserve">TOTAL HEADCOUNT</t>
  </si>
  <si>
    <t xml:space="preserve">people</t>
  </si>
  <si>
    <t xml:space="preserve">Base salary cost</t>
  </si>
  <si>
    <t xml:space="preserve">Fully loaded (× loading)</t>
  </si>
  <si>
    <t xml:space="preserve">Tooling / cloud / training</t>
  </si>
  <si>
    <t xml:space="preserve">ALL-IN ANNUAL COST (£'000)</t>
  </si>
  <si>
    <t xml:space="preserve">Assumptions</t>
  </si>
  <si>
    <t xml:space="preserve">Loading multiplier (employer NI, pension, overhead)</t>
  </si>
  <si>
    <t xml:space="preserve">Lean = 1 pod · Standard = 2 pods · Scaled = 4 pods</t>
  </si>
  <si>
    <t xml:space="preserve">Head of Governance Lean # = 0 → borrowed (dotted) from enterprise Risk</t>
  </si>
  <si>
    <t xml:space="preserve">Salaries are base; not on CoE payroll: Chief EA, CRO, Steering Committee, Enterprise ARB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</si>
</sst>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0"/>
    <numFmt numFmtId="167" formatCode="\£#,##0.0"/>
    <numFmt numFmtId="168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6D28D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C1D95"/>
        <bgColor rgb="FF6D28D9"/>
      </patternFill>
    </fill>
    <fill>
      <patternFill patternType="solid">
        <fgColor rgb="FFF1F5F9"/>
        <bgColor rgb="FFFFFFFF"/>
      </patternFill>
    </fill>
    <fill>
      <patternFill patternType="solid">
        <fgColor rgb="FFFFF3CD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08080"/>
      <rgbColor rgb="FFC0C0C0"/>
      <rgbColor rgb="FF808080"/>
      <rgbColor rgb="FF9999FF"/>
      <rgbColor rgb="FF993366"/>
      <rgbColor rgb="FFFFF3CD"/>
      <rgbColor rgb="FFF1F5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n">
        <v>180</v>
      </c>
      <c r="D5" s="7" t="n">
        <v>1</v>
      </c>
      <c r="E5" s="7" t="n">
        <v>1</v>
      </c>
      <c r="F5" s="7" t="n">
        <v>1</v>
      </c>
      <c r="G5" s="8" t="n">
        <f aca="false">C5*D5</f>
        <v>180</v>
      </c>
      <c r="H5" s="8" t="n">
        <f aca="false">C5*E5</f>
        <v>180</v>
      </c>
      <c r="I5" s="8" t="n">
        <f aca="false">C5*F5</f>
        <v>180</v>
      </c>
    </row>
    <row r="6" customFormat="false" ht="15" hidden="false" customHeight="false" outlineLevel="0" collapsed="false">
      <c r="A6" s="4" t="s">
        <v>13</v>
      </c>
      <c r="B6" s="5" t="s">
        <v>12</v>
      </c>
      <c r="C6" s="6" t="n">
        <v>145</v>
      </c>
      <c r="D6" s="7" t="n">
        <v>1</v>
      </c>
      <c r="E6" s="7" t="n">
        <v>1</v>
      </c>
      <c r="F6" s="7" t="n">
        <v>1</v>
      </c>
      <c r="G6" s="8" t="n">
        <f aca="false">C6*D6</f>
        <v>145</v>
      </c>
      <c r="H6" s="8" t="n">
        <f aca="false">C6*E6</f>
        <v>145</v>
      </c>
      <c r="I6" s="8" t="n">
        <f aca="false">C6*F6</f>
        <v>145</v>
      </c>
    </row>
    <row r="7" customFormat="false" ht="15" hidden="false" customHeight="false" outlineLevel="0" collapsed="false">
      <c r="A7" s="4" t="s">
        <v>14</v>
      </c>
      <c r="B7" s="5" t="s">
        <v>12</v>
      </c>
      <c r="C7" s="6" t="n">
        <v>140</v>
      </c>
      <c r="D7" s="7" t="n">
        <v>1</v>
      </c>
      <c r="E7" s="7" t="n">
        <v>1</v>
      </c>
      <c r="F7" s="7" t="n">
        <v>1</v>
      </c>
      <c r="G7" s="8" t="n">
        <f aca="false">C7*D7</f>
        <v>140</v>
      </c>
      <c r="H7" s="8" t="n">
        <f aca="false">C7*E7</f>
        <v>140</v>
      </c>
      <c r="I7" s="8" t="n">
        <f aca="false">C7*F7</f>
        <v>140</v>
      </c>
    </row>
    <row r="8" customFormat="false" ht="15" hidden="false" customHeight="false" outlineLevel="0" collapsed="false">
      <c r="A8" s="4" t="s">
        <v>15</v>
      </c>
      <c r="B8" s="5" t="s">
        <v>12</v>
      </c>
      <c r="C8" s="6" t="n">
        <v>135</v>
      </c>
      <c r="D8" s="7" t="n">
        <v>1</v>
      </c>
      <c r="E8" s="7" t="n">
        <v>1</v>
      </c>
      <c r="F8" s="7" t="n">
        <v>1</v>
      </c>
      <c r="G8" s="8" t="n">
        <f aca="false">C8*D8</f>
        <v>135</v>
      </c>
      <c r="H8" s="8" t="n">
        <f aca="false">C8*E8</f>
        <v>135</v>
      </c>
      <c r="I8" s="8" t="n">
        <f aca="false">C8*F8</f>
        <v>135</v>
      </c>
    </row>
    <row r="9" customFormat="false" ht="15" hidden="false" customHeight="false" outlineLevel="0" collapsed="false">
      <c r="A9" s="4" t="s">
        <v>16</v>
      </c>
      <c r="B9" s="5" t="s">
        <v>12</v>
      </c>
      <c r="C9" s="6" t="n">
        <v>135</v>
      </c>
      <c r="D9" s="7" t="n">
        <v>0</v>
      </c>
      <c r="E9" s="7" t="n">
        <v>1</v>
      </c>
      <c r="F9" s="7" t="n">
        <v>1</v>
      </c>
      <c r="G9" s="8" t="n">
        <f aca="false">C9*D9</f>
        <v>0</v>
      </c>
      <c r="H9" s="8" t="n">
        <f aca="false">C9*E9</f>
        <v>135</v>
      </c>
      <c r="I9" s="8" t="n">
        <f aca="false">C9*F9</f>
        <v>135</v>
      </c>
    </row>
    <row r="10" customFormat="false" ht="15" hidden="false" customHeight="false" outlineLevel="0" collapsed="false">
      <c r="A10" s="4" t="s">
        <v>17</v>
      </c>
      <c r="B10" s="5" t="s">
        <v>12</v>
      </c>
      <c r="C10" s="6" t="n">
        <v>90</v>
      </c>
      <c r="D10" s="7" t="n">
        <v>0</v>
      </c>
      <c r="E10" s="7" t="n">
        <v>1</v>
      </c>
      <c r="F10" s="7" t="n">
        <v>1</v>
      </c>
      <c r="G10" s="8" t="n">
        <f aca="false">C10*D10</f>
        <v>0</v>
      </c>
      <c r="H10" s="8" t="n">
        <f aca="false">C10*E10</f>
        <v>90</v>
      </c>
      <c r="I10" s="8" t="n">
        <f aca="false">C10*F10</f>
        <v>90</v>
      </c>
    </row>
    <row r="11" customFormat="false" ht="15" hidden="false" customHeight="false" outlineLevel="0" collapsed="false">
      <c r="A11" s="4" t="s">
        <v>18</v>
      </c>
      <c r="B11" s="5" t="s">
        <v>19</v>
      </c>
      <c r="C11" s="6" t="n">
        <v>110</v>
      </c>
      <c r="D11" s="7" t="n">
        <v>1</v>
      </c>
      <c r="E11" s="7" t="n">
        <v>2</v>
      </c>
      <c r="F11" s="7" t="n">
        <v>4</v>
      </c>
      <c r="G11" s="8" t="n">
        <f aca="false">C11*D11</f>
        <v>110</v>
      </c>
      <c r="H11" s="8" t="n">
        <f aca="false">C11*E11</f>
        <v>220</v>
      </c>
      <c r="I11" s="8" t="n">
        <f aca="false">C11*F11</f>
        <v>440</v>
      </c>
    </row>
    <row r="12" customFormat="false" ht="15" hidden="false" customHeight="false" outlineLevel="0" collapsed="false">
      <c r="A12" s="4" t="s">
        <v>20</v>
      </c>
      <c r="B12" s="5" t="s">
        <v>21</v>
      </c>
      <c r="C12" s="6" t="n">
        <v>85</v>
      </c>
      <c r="D12" s="7" t="n">
        <v>1</v>
      </c>
      <c r="E12" s="7" t="n">
        <v>2</v>
      </c>
      <c r="F12" s="7" t="n">
        <v>4</v>
      </c>
      <c r="G12" s="8" t="n">
        <f aca="false">C12*D12</f>
        <v>85</v>
      </c>
      <c r="H12" s="8" t="n">
        <f aca="false">C12*E12</f>
        <v>170</v>
      </c>
      <c r="I12" s="8" t="n">
        <f aca="false">C12*F12</f>
        <v>340</v>
      </c>
    </row>
    <row r="13" customFormat="false" ht="15" hidden="false" customHeight="false" outlineLevel="0" collapsed="false">
      <c r="A13" s="4" t="s">
        <v>22</v>
      </c>
      <c r="B13" s="5" t="s">
        <v>21</v>
      </c>
      <c r="C13" s="6" t="n">
        <v>100</v>
      </c>
      <c r="D13" s="7" t="n">
        <v>3</v>
      </c>
      <c r="E13" s="7" t="n">
        <v>5</v>
      </c>
      <c r="F13" s="7" t="n">
        <v>10</v>
      </c>
      <c r="G13" s="8" t="n">
        <f aca="false">C13*D13</f>
        <v>300</v>
      </c>
      <c r="H13" s="8" t="n">
        <f aca="false">C13*E13</f>
        <v>500</v>
      </c>
      <c r="I13" s="8" t="n">
        <f aca="false">C13*F13</f>
        <v>1000</v>
      </c>
    </row>
    <row r="14" customFormat="false" ht="15" hidden="false" customHeight="false" outlineLevel="0" collapsed="false">
      <c r="A14" s="4" t="s">
        <v>23</v>
      </c>
      <c r="B14" s="5" t="s">
        <v>21</v>
      </c>
      <c r="C14" s="6" t="n">
        <v>95</v>
      </c>
      <c r="D14" s="7" t="n">
        <v>1</v>
      </c>
      <c r="E14" s="7" t="n">
        <v>2</v>
      </c>
      <c r="F14" s="7" t="n">
        <v>4</v>
      </c>
      <c r="G14" s="8" t="n">
        <f aca="false">C14*D14</f>
        <v>95</v>
      </c>
      <c r="H14" s="8" t="n">
        <f aca="false">C14*E14</f>
        <v>190</v>
      </c>
      <c r="I14" s="8" t="n">
        <f aca="false">C14*F14</f>
        <v>380</v>
      </c>
    </row>
    <row r="15" customFormat="false" ht="15" hidden="false" customHeight="false" outlineLevel="0" collapsed="false">
      <c r="A15" s="4" t="s">
        <v>24</v>
      </c>
      <c r="B15" s="5" t="s">
        <v>25</v>
      </c>
      <c r="C15" s="6" t="n">
        <v>100</v>
      </c>
      <c r="D15" s="7" t="n">
        <v>1</v>
      </c>
      <c r="E15" s="7" t="n">
        <v>2</v>
      </c>
      <c r="F15" s="7" t="n">
        <v>3</v>
      </c>
      <c r="G15" s="8" t="n">
        <f aca="false">C15*D15</f>
        <v>100</v>
      </c>
      <c r="H15" s="8" t="n">
        <f aca="false">C15*E15</f>
        <v>200</v>
      </c>
      <c r="I15" s="8" t="n">
        <f aca="false">C15*F15</f>
        <v>300</v>
      </c>
    </row>
    <row r="16" customFormat="false" ht="15" hidden="false" customHeight="false" outlineLevel="0" collapsed="false">
      <c r="A16" s="4" t="s">
        <v>26</v>
      </c>
      <c r="B16" s="5" t="s">
        <v>25</v>
      </c>
      <c r="C16" s="6" t="n">
        <v>90</v>
      </c>
      <c r="D16" s="7" t="n">
        <v>1</v>
      </c>
      <c r="E16" s="7" t="n">
        <v>2</v>
      </c>
      <c r="F16" s="7" t="n">
        <v>3</v>
      </c>
      <c r="G16" s="8" t="n">
        <f aca="false">C16*D16</f>
        <v>90</v>
      </c>
      <c r="H16" s="8" t="n">
        <f aca="false">C16*E16</f>
        <v>180</v>
      </c>
      <c r="I16" s="8" t="n">
        <f aca="false">C16*F16</f>
        <v>270</v>
      </c>
    </row>
    <row r="17" customFormat="false" ht="15" hidden="false" customHeight="false" outlineLevel="0" collapsed="false">
      <c r="A17" s="4" t="s">
        <v>27</v>
      </c>
      <c r="B17" s="5" t="s">
        <v>28</v>
      </c>
      <c r="C17" s="6" t="n">
        <v>90</v>
      </c>
      <c r="D17" s="7" t="n">
        <v>1</v>
      </c>
      <c r="E17" s="7" t="n">
        <v>2</v>
      </c>
      <c r="F17" s="7" t="n">
        <v>4</v>
      </c>
      <c r="G17" s="8" t="n">
        <f aca="false">C17*D17</f>
        <v>90</v>
      </c>
      <c r="H17" s="8" t="n">
        <f aca="false">C17*E17</f>
        <v>180</v>
      </c>
      <c r="I17" s="8" t="n">
        <f aca="false">C17*F17</f>
        <v>360</v>
      </c>
    </row>
    <row r="18" customFormat="false" ht="15" hidden="false" customHeight="false" outlineLevel="0" collapsed="false">
      <c r="A18" s="9" t="s">
        <v>29</v>
      </c>
      <c r="B18" s="10" t="s">
        <v>30</v>
      </c>
      <c r="C18" s="11"/>
      <c r="D18" s="12" t="n">
        <f aca="false">SUM(D5:D17)</f>
        <v>13</v>
      </c>
      <c r="E18" s="12" t="n">
        <f aca="false">SUM(E5:E17)</f>
        <v>23</v>
      </c>
      <c r="F18" s="12" t="n">
        <f aca="false">SUM(F5:F17)</f>
        <v>38</v>
      </c>
      <c r="G18" s="11"/>
      <c r="H18" s="11"/>
      <c r="I18" s="11"/>
    </row>
    <row r="19" customFormat="false" ht="15" hidden="false" customHeight="false" outlineLevel="0" collapsed="false">
      <c r="A19" s="9" t="s">
        <v>31</v>
      </c>
      <c r="B19" s="13"/>
      <c r="C19" s="11"/>
      <c r="D19" s="14"/>
      <c r="E19" s="14"/>
      <c r="F19" s="14"/>
      <c r="G19" s="15" t="n">
        <f aca="false">SUM(G5:G17)</f>
        <v>1470</v>
      </c>
      <c r="H19" s="15" t="n">
        <f aca="false">SUM(H5:H17)</f>
        <v>2465</v>
      </c>
      <c r="I19" s="15" t="n">
        <f aca="false">SUM(I5:I17)</f>
        <v>3915</v>
      </c>
    </row>
    <row r="20" customFormat="false" ht="15" hidden="false" customHeight="false" outlineLevel="0" collapsed="false">
      <c r="A20" s="4" t="s">
        <v>32</v>
      </c>
      <c r="B20" s="16"/>
      <c r="C20" s="17"/>
      <c r="D20" s="18"/>
      <c r="E20" s="18"/>
      <c r="F20" s="18"/>
      <c r="G20" s="8" t="n">
        <f aca="false">G19*$C$24</f>
        <v>1911</v>
      </c>
      <c r="H20" s="8" t="n">
        <f aca="false">H19*$C$24</f>
        <v>3204.5</v>
      </c>
      <c r="I20" s="8" t="n">
        <f aca="false">I19*$C$24</f>
        <v>5089.5</v>
      </c>
    </row>
    <row r="21" customFormat="false" ht="15" hidden="false" customHeight="false" outlineLevel="0" collapsed="false">
      <c r="A21" s="4" t="s">
        <v>33</v>
      </c>
      <c r="B21" s="16"/>
      <c r="C21" s="17"/>
      <c r="D21" s="18"/>
      <c r="E21" s="18"/>
      <c r="F21" s="18"/>
      <c r="G21" s="6" t="n">
        <v>350</v>
      </c>
      <c r="H21" s="6" t="n">
        <v>500</v>
      </c>
      <c r="I21" s="6" t="n">
        <v>800</v>
      </c>
    </row>
    <row r="22" customFormat="false" ht="15" hidden="false" customHeight="false" outlineLevel="0" collapsed="false">
      <c r="A22" s="19" t="s">
        <v>34</v>
      </c>
      <c r="B22" s="20"/>
      <c r="C22" s="21"/>
      <c r="D22" s="22"/>
      <c r="E22" s="22"/>
      <c r="F22" s="22"/>
      <c r="G22" s="23" t="n">
        <f aca="false">G20+G21</f>
        <v>2261</v>
      </c>
      <c r="H22" s="23" t="n">
        <f aca="false">H20+H21</f>
        <v>3704.5</v>
      </c>
      <c r="I22" s="23" t="n">
        <f aca="false">I20+I21</f>
        <v>5889.5</v>
      </c>
    </row>
    <row r="23" customFormat="false" ht="15" hidden="false" customHeight="false" outlineLevel="0" collapsed="false">
      <c r="A23" s="19" t="s">
        <v>35</v>
      </c>
      <c r="B23" s="20"/>
      <c r="C23" s="24"/>
      <c r="D23" s="22"/>
      <c r="E23" s="22"/>
      <c r="F23" s="22"/>
      <c r="G23" s="25" t="n">
        <f aca="false">G22/1000</f>
        <v>2.261</v>
      </c>
      <c r="H23" s="25" t="n">
        <f aca="false">H22/1000</f>
        <v>3.7045</v>
      </c>
      <c r="I23" s="25" t="n">
        <f aca="false">I22/1000</f>
        <v>5.8895</v>
      </c>
    </row>
    <row r="24" customFormat="false" ht="15" hidden="false" customHeight="false" outlineLevel="0" collapsed="false">
      <c r="A24" s="26" t="s">
        <v>36</v>
      </c>
      <c r="C24" s="27" t="n">
        <v>1.3</v>
      </c>
    </row>
    <row r="25" customFormat="false" ht="15" hidden="false" customHeight="false" outlineLevel="0" collapsed="false">
      <c r="A25" s="2" t="s">
        <v>37</v>
      </c>
    </row>
    <row r="26" customFormat="false" ht="15" hidden="false" customHeight="false" outlineLevel="0" collapsed="false">
      <c r="A26" s="2" t="s">
        <v>38</v>
      </c>
    </row>
    <row r="27" customFormat="false" ht="15" hidden="false" customHeight="false" outlineLevel="0" collapsed="false">
      <c r="A27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2026-06-11T20:18:26Z</dcterms:created>
  <dc:creator>openpyxl</dc:creator>
  <dc:description/>
  <dc:language>en-US</dc:language>
  <cp:lastModifiedBy/>
  <dcterms:modified xsi:type="dcterms:W3CDTF">2026-06-11T20:18:26Z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